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reelance\EP\ekansh_lims\"/>
    </mc:Choice>
  </mc:AlternateContent>
  <xr:revisionPtr revIDLastSave="0" documentId="13_ncr:1_{77D33A30-A72D-4352-AE57-9BB37DA8FE2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Cases'!$A$2:$K$89</definedName>
  </definedNames>
  <calcPr calcId="191029"/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10" i="1" l="1"/>
</calcChain>
</file>

<file path=xl/sharedStrings.xml><?xml version="1.0" encoding="utf-8"?>
<sst xmlns="http://schemas.openxmlformats.org/spreadsheetml/2006/main" count="613" uniqueCount="394">
  <si>
    <t>Test Execution Summary</t>
  </si>
  <si>
    <t>Metric</t>
  </si>
  <si>
    <t>Value</t>
  </si>
  <si>
    <t>Project</t>
  </si>
  <si>
    <t>Ekansh Lab Suite (LIMS)</t>
  </si>
  <si>
    <t>Total Test Cases</t>
  </si>
  <si>
    <t>Passed</t>
  </si>
  <si>
    <t>Failed</t>
  </si>
  <si>
    <t>Blocked</t>
  </si>
  <si>
    <t>Not Run</t>
  </si>
  <si>
    <t>N/A</t>
  </si>
  <si>
    <t>Pass Rate</t>
  </si>
  <si>
    <t>Legend:</t>
  </si>
  <si>
    <t>Status options: Not Run / Pass / Fail / Blocked / N/A</t>
  </si>
  <si>
    <t>Priority: High / Medium / Low</t>
  </si>
  <si>
    <t>Fill 'Status', 'Tested By', 'Date' columns during execution.</t>
  </si>
  <si>
    <t>Ekansh Lab Suite (LIMS) — Test Case Workbook</t>
  </si>
  <si>
    <t>ID</t>
  </si>
  <si>
    <t>Module</t>
  </si>
  <si>
    <t>Test Case</t>
  </si>
  <si>
    <t>Pre-condition</t>
  </si>
  <si>
    <t>Steps</t>
  </si>
  <si>
    <t>Expected Result</t>
  </si>
  <si>
    <t>Priority</t>
  </si>
  <si>
    <t>Status</t>
  </si>
  <si>
    <t>Tested By</t>
  </si>
  <si>
    <t>Date</t>
  </si>
  <si>
    <t>Notes</t>
  </si>
  <si>
    <t>1. Authentication</t>
  </si>
  <si>
    <t>TC-01.1</t>
  </si>
  <si>
    <t>Authentication</t>
  </si>
  <si>
    <t>Sign in with valid email &amp; password</t>
  </si>
  <si>
    <t>Registered account exists</t>
  </si>
  <si>
    <t>Open /app/login &gt; enter valid email &amp; password &gt; Sign in</t>
  </si>
  <si>
    <t>Redirected to Dashboard; session persists on refresh</t>
  </si>
  <si>
    <t>High</t>
  </si>
  <si>
    <t>TC-01.2</t>
  </si>
  <si>
    <t>Sign in with wrong password</t>
  </si>
  <si>
    <t>Account exists</t>
  </si>
  <si>
    <t>Enter valid email + wrong password &gt; Sign in</t>
  </si>
  <si>
    <t>Error 'Invalid email or password.' shown; stays on login</t>
  </si>
  <si>
    <t>TC-01.3</t>
  </si>
  <si>
    <t>Sign in with unregistered email</t>
  </si>
  <si>
    <t>—</t>
  </si>
  <si>
    <t>Enter unknown email + password &gt; Sign in</t>
  </si>
  <si>
    <t>Error 'Invalid email or password.' shown</t>
  </si>
  <si>
    <t>Medium</t>
  </si>
  <si>
    <t>TC-01.4</t>
  </si>
  <si>
    <t>Create account (sign up)</t>
  </si>
  <si>
    <t>Email not yet registered</t>
  </si>
  <si>
    <t>Switch to Sign up &gt; enter email, password, confirm &gt; Submit</t>
  </si>
  <si>
    <t>Account created; redirected to Report Settings (/app/config)</t>
  </si>
  <si>
    <t>TC-01.5</t>
  </si>
  <si>
    <t>Sign up password mismatch</t>
  </si>
  <si>
    <t>On Sign up tab</t>
  </si>
  <si>
    <t>Enter password ≠ confirm password &gt; Submit</t>
  </si>
  <si>
    <t>Error 'Passwords do not match.'; no account created</t>
  </si>
  <si>
    <t>TC-01.6</t>
  </si>
  <si>
    <t>Sign up password too short</t>
  </si>
  <si>
    <t>Enter password &lt; 6 chars &gt; Submit</t>
  </si>
  <si>
    <t>Error 'Password must be at least 6 characters.'</t>
  </si>
  <si>
    <t>TC-01.7</t>
  </si>
  <si>
    <t>Sign up with already-registered email</t>
  </si>
  <si>
    <t>Email already in use</t>
  </si>
  <si>
    <t>Sign up with existing email</t>
  </si>
  <si>
    <t>Error 'This email is already registered. Please sign in.'</t>
  </si>
  <si>
    <t>TC-01.8</t>
  </si>
  <si>
    <t>Auth-gated route protection</t>
  </si>
  <si>
    <t>Logged out</t>
  </si>
  <si>
    <t>Navigate directly to /app/dashboard</t>
  </si>
  <si>
    <t>Redirected to /app/login</t>
  </si>
  <si>
    <t>TC-01.9</t>
  </si>
  <si>
    <t>Session persistence</t>
  </si>
  <si>
    <t>Logged in</t>
  </si>
  <si>
    <t>Refresh the browser / reopen tab</t>
  </si>
  <si>
    <t>Remains logged in; no re-login required</t>
  </si>
  <si>
    <t>TC-01.10</t>
  </si>
  <si>
    <t>Logout with confirmation</t>
  </si>
  <si>
    <t>Open account menu &gt; Logout &gt; confirm dialog</t>
  </si>
  <si>
    <t>Confirm prompt shown; on confirm returns to login</t>
  </si>
  <si>
    <t>TC-01.11</t>
  </si>
  <si>
    <t>Loading state on auth resolve</t>
  </si>
  <si>
    <t>Cold load while auth resolving</t>
  </si>
  <si>
    <t>Open an app route on first load</t>
  </si>
  <si>
    <t>'Loading…' shown until auth state resolves</t>
  </si>
  <si>
    <t>Low</t>
  </si>
  <si>
    <t>2. Landing / Public</t>
  </si>
  <si>
    <t>TC-02.1</t>
  </si>
  <si>
    <t>Landing / Public</t>
  </si>
  <si>
    <t>Landing page loads</t>
  </si>
  <si>
    <t>Open / (root)</t>
  </si>
  <si>
    <t>Marketing landing renders with CTA to login</t>
  </si>
  <si>
    <t>TC-02.2</t>
  </si>
  <si>
    <t>Unknown route fallback</t>
  </si>
  <si>
    <t>Open a non-existent path e.g. /xyz</t>
  </si>
  <si>
    <t>Redirected to landing (/)</t>
  </si>
  <si>
    <t>3. Dashboard</t>
  </si>
  <si>
    <t>TC-03.1</t>
  </si>
  <si>
    <t>Dashboard</t>
  </si>
  <si>
    <t>Dashboard renders KPIs</t>
  </si>
  <si>
    <t>Open /app/dashboard</t>
  </si>
  <si>
    <t>Summary cards / stats render without errors</t>
  </si>
  <si>
    <t>TC-03.2</t>
  </si>
  <si>
    <t>Navigation shell links</t>
  </si>
  <si>
    <t>Click each sidebar item</t>
  </si>
  <si>
    <t>Routes to correct page; active item highlighted</t>
  </si>
  <si>
    <t>TC-03.3</t>
  </si>
  <si>
    <t>Empty-data state</t>
  </si>
  <si>
    <t>Fresh lab, no reports</t>
  </si>
  <si>
    <t>Open dashboard</t>
  </si>
  <si>
    <t>Zero counts shown gracefully, no crash</t>
  </si>
  <si>
    <t>4. New Report — Step 1 (Patient &amp; Tests)</t>
  </si>
  <si>
    <t>TC-04.1</t>
  </si>
  <si>
    <t>New Report — Step 1 (Patient &amp; Tests)</t>
  </si>
  <si>
    <t>Auto-fill patient by phone</t>
  </si>
  <si>
    <t>Existing patient with 10-digit phone</t>
  </si>
  <si>
    <t>New Report &gt; enter known 10-digit phone</t>
  </si>
  <si>
    <t>Name, age, gender, UHID auto-populated</t>
  </si>
  <si>
    <t>TC-04.2</t>
  </si>
  <si>
    <t>New patient manual entry</t>
  </si>
  <si>
    <t>Enter name, age, gender, phone for new patient</t>
  </si>
  <si>
    <t>Fields accept input; proceeds to next step</t>
  </si>
  <si>
    <t>TC-04.3</t>
  </si>
  <si>
    <t>Phone normalization</t>
  </si>
  <si>
    <t>Enter phone with spaces/+91/dashes</t>
  </si>
  <si>
    <t>Phone normalized to 10 digits before lookup</t>
  </si>
  <si>
    <t>TC-04.4</t>
  </si>
  <si>
    <t>Select tests from catalog</t>
  </si>
  <si>
    <t>Catalog has tests</t>
  </si>
  <si>
    <t>Search/filter by category &gt; select one or more tests</t>
  </si>
  <si>
    <t>Selected tests listed; price reflected</t>
  </si>
  <si>
    <t>TC-04.5</t>
  </si>
  <si>
    <t>Cycle phase selection</t>
  </si>
  <si>
    <t>Female / hormone test</t>
  </si>
  <si>
    <t>Choose cycle phase from dropdown</t>
  </si>
  <si>
    <t>Phase stored and used for reference ranges</t>
  </si>
  <si>
    <t>TC-04.6</t>
  </si>
  <si>
    <t>Referred-by field</t>
  </si>
  <si>
    <t>Type/select referring doctor</t>
  </si>
  <si>
    <t>Referrer captured with display name</t>
  </si>
  <si>
    <t>TC-04.7</t>
  </si>
  <si>
    <t>Proceed blocked without required data</t>
  </si>
  <si>
    <t>No patient/tests</t>
  </si>
  <si>
    <t>Click Next with empty form</t>
  </si>
  <si>
    <t>Validation prevents advancing</t>
  </si>
  <si>
    <t>5. New Report — Step 2 (Enter Results)</t>
  </si>
  <si>
    <t>TC-05.1</t>
  </si>
  <si>
    <t>New Report — Step 2 (Enter Results)</t>
  </si>
  <si>
    <t>Enter results per parameter</t>
  </si>
  <si>
    <t>Tests selected</t>
  </si>
  <si>
    <t>Type values for each parameter</t>
  </si>
  <si>
    <t>Values accepted; high/low flags computed</t>
  </si>
  <si>
    <t>TC-05.2</t>
  </si>
  <si>
    <t>Out-of-range flagging</t>
  </si>
  <si>
    <t>Param with reference range</t>
  </si>
  <si>
    <t>Enter value above/below range</t>
  </si>
  <si>
    <t>Flag badge (High/Low) displayed</t>
  </si>
  <si>
    <t>TC-05.3</t>
  </si>
  <si>
    <t>Switch between active tests</t>
  </si>
  <si>
    <t>Multiple tests selected</t>
  </si>
  <si>
    <t>Click each test tab</t>
  </si>
  <si>
    <t>Result entry switches; values retained</t>
  </si>
  <si>
    <t>TC-05.4</t>
  </si>
  <si>
    <t>Initial results pre-built</t>
  </si>
  <si>
    <t>Test template loaded</t>
  </si>
  <si>
    <t>Open step 2</t>
  </si>
  <si>
    <t>Parameters pre-populated from template</t>
  </si>
  <si>
    <t>6. New Report — Step 3 (Review &amp; Save)</t>
  </si>
  <si>
    <t>TC-06.1</t>
  </si>
  <si>
    <t>New Report — Step 3 (Review &amp; Save)</t>
  </si>
  <si>
    <t>Review summary accuracy</t>
  </si>
  <si>
    <t>Steps 1–2 complete</t>
  </si>
  <si>
    <t>Open Review step</t>
  </si>
  <si>
    <t>Patient, tests, results, totals shown correctly</t>
  </si>
  <si>
    <t>TC-06.2</t>
  </si>
  <si>
    <t>Save report</t>
  </si>
  <si>
    <t>Review complete</t>
  </si>
  <si>
    <t>Click Save</t>
  </si>
  <si>
    <t>Report persisted to Firestore; UHID upserted</t>
  </si>
  <si>
    <t>TC-06.3</t>
  </si>
  <si>
    <t>Save creates/updates patient</t>
  </si>
  <si>
    <t>New patient</t>
  </si>
  <si>
    <t>Patient record created with UHID</t>
  </si>
  <si>
    <t>TC-06.4</t>
  </si>
  <si>
    <t>Save error handling</t>
  </si>
  <si>
    <t>Network/permission failure</t>
  </si>
  <si>
    <t>Trigger save failure</t>
  </si>
  <si>
    <t>Error surfaced; no partial/duplicate save</t>
  </si>
  <si>
    <t>TC-06.5</t>
  </si>
  <si>
    <t>Navigate back preserves data</t>
  </si>
  <si>
    <t>Mid-wizard</t>
  </si>
  <si>
    <t>Click Back across steps</t>
  </si>
  <si>
    <t>Entered data retained across steps</t>
  </si>
  <si>
    <t>7. Report History</t>
  </si>
  <si>
    <t>TC-07.1</t>
  </si>
  <si>
    <t>Report History</t>
  </si>
  <si>
    <t>List reports</t>
  </si>
  <si>
    <t>Reports exist</t>
  </si>
  <si>
    <t>Open /app/reports</t>
  </si>
  <si>
    <t>Reports listed with patient/date/status</t>
  </si>
  <si>
    <t>TC-07.2</t>
  </si>
  <si>
    <t>Search/filter reports</t>
  </si>
  <si>
    <t>Multiple reports</t>
  </si>
  <si>
    <t>Search by patient/phone</t>
  </si>
  <si>
    <t>List filtered correctly</t>
  </si>
  <si>
    <t>TC-07.3</t>
  </si>
  <si>
    <t>Open report actions sheet</t>
  </si>
  <si>
    <t>A report exists</t>
  </si>
  <si>
    <t>Tap a report &gt; actions</t>
  </si>
  <si>
    <t>Action sheet (view/verify/download) appears</t>
  </si>
  <si>
    <t>TC-07.4</t>
  </si>
  <si>
    <t>Download/Share PDF</t>
  </si>
  <si>
    <t>Report saved</t>
  </si>
  <si>
    <t>Choose Download</t>
  </si>
  <si>
    <t>PDF generated matching configured layout</t>
  </si>
  <si>
    <t>TC-07.5</t>
  </si>
  <si>
    <t>Empty state</t>
  </si>
  <si>
    <t>No reports</t>
  </si>
  <si>
    <t>Open page</t>
  </si>
  <si>
    <t>Friendly empty state shown</t>
  </si>
  <si>
    <t>8. Report Verify (in-app)</t>
  </si>
  <si>
    <t>TC-08.1</t>
  </si>
  <si>
    <t>Report Verify (in-app)</t>
  </si>
  <si>
    <t>Verify a report</t>
  </si>
  <si>
    <t>Report needs verification</t>
  </si>
  <si>
    <t>Open /app/reports/:id/verify</t>
  </si>
  <si>
    <t>Report details load for verification</t>
  </si>
  <si>
    <t>TC-08.2</t>
  </si>
  <si>
    <t>Mark as verified</t>
  </si>
  <si>
    <t>Authorized user</t>
  </si>
  <si>
    <t>Confirm verification</t>
  </si>
  <si>
    <t>Status updated to verified; verifier recorded</t>
  </si>
  <si>
    <t>9. Public QR Verification</t>
  </si>
  <si>
    <t>TC-09.1</t>
  </si>
  <si>
    <t>Public QR Verification</t>
  </si>
  <si>
    <t>Valid QR link</t>
  </si>
  <si>
    <t>Report exists &amp; public</t>
  </si>
  <si>
    <t>Open /verify?r=&lt;hid&gt;/&lt;reportId&gt;</t>
  </si>
  <si>
    <t>Report shown with 'verified' shield</t>
  </si>
  <si>
    <t>TC-09.2</t>
  </si>
  <si>
    <t>Invalid link format</t>
  </si>
  <si>
    <t>Open /verify with no/invalid r param</t>
  </si>
  <si>
    <t>'Invalid' state shown</t>
  </si>
  <si>
    <t>TC-09.3</t>
  </si>
  <si>
    <t>Report not found</t>
  </si>
  <si>
    <t>Bad/expired id</t>
  </si>
  <si>
    <t>Open /verify?r=&lt;hid&gt;/unknown</t>
  </si>
  <si>
    <t>'Not found' state shown</t>
  </si>
  <si>
    <t>TC-09.4</t>
  </si>
  <si>
    <t>No auth required</t>
  </si>
  <si>
    <t>Open valid verify link</t>
  </si>
  <si>
    <t>Loads without login</t>
  </si>
  <si>
    <t>10. Test Catalog</t>
  </si>
  <si>
    <t>TC-10.1</t>
  </si>
  <si>
    <t>Test Catalog</t>
  </si>
  <si>
    <t>List catalog tests</t>
  </si>
  <si>
    <t>Open /app/catalog</t>
  </si>
  <si>
    <t>Tests with name, category, price listed</t>
  </si>
  <si>
    <t>TC-10.2</t>
  </si>
  <si>
    <t>Add new test</t>
  </si>
  <si>
    <t>Add test with parameters &amp; price</t>
  </si>
  <si>
    <t>Saved and appears in catalog &amp; New Report</t>
  </si>
  <si>
    <t>TC-10.3</t>
  </si>
  <si>
    <t>Edit test price/params</t>
  </si>
  <si>
    <t>Test exists</t>
  </si>
  <si>
    <t>Edit and save</t>
  </si>
  <si>
    <t>Changes persist; reflected in New Report</t>
  </si>
  <si>
    <t>TC-10.4</t>
  </si>
  <si>
    <t>Delete test</t>
  </si>
  <si>
    <t>Delete a test</t>
  </si>
  <si>
    <t>Removed from catalog after confirm</t>
  </si>
  <si>
    <t>TC-10.5</t>
  </si>
  <si>
    <t>Category filtering</t>
  </si>
  <si>
    <t>Multiple categories</t>
  </si>
  <si>
    <t>Filter by category</t>
  </si>
  <si>
    <t>Only matching tests shown</t>
  </si>
  <si>
    <t>11. Patients</t>
  </si>
  <si>
    <t>TC-11.1</t>
  </si>
  <si>
    <t>Patients</t>
  </si>
  <si>
    <t>List patients</t>
  </si>
  <si>
    <t>Patients exist</t>
  </si>
  <si>
    <t>Open /app/patients</t>
  </si>
  <si>
    <t>Patients listed with UHID/phone</t>
  </si>
  <si>
    <t>TC-11.2</t>
  </si>
  <si>
    <t>Search patient</t>
  </si>
  <si>
    <t>Multiple patients</t>
  </si>
  <si>
    <t>Search by name/phone/UHID</t>
  </si>
  <si>
    <t>Filtered results</t>
  </si>
  <si>
    <t>TC-11.3</t>
  </si>
  <si>
    <t>Open patient detail</t>
  </si>
  <si>
    <t>Patient exists</t>
  </si>
  <si>
    <t>Click a patient</t>
  </si>
  <si>
    <t>Detail page with reports/history</t>
  </si>
  <si>
    <t>TC-11.4</t>
  </si>
  <si>
    <t>Patient report history</t>
  </si>
  <si>
    <t>Patient has reports</t>
  </si>
  <si>
    <t>Open detail</t>
  </si>
  <si>
    <t>All linked reports listed</t>
  </si>
  <si>
    <t>12. Invoices / Billing</t>
  </si>
  <si>
    <t>TC-12.1</t>
  </si>
  <si>
    <t>Invoices / Billing</t>
  </si>
  <si>
    <t>List invoices</t>
  </si>
  <si>
    <t>Invoices exist</t>
  </si>
  <si>
    <t>Open /app/invoices</t>
  </si>
  <si>
    <t>Invoices listed with amounts</t>
  </si>
  <si>
    <t>TC-12.2</t>
  </si>
  <si>
    <t>Generate invoice PDF</t>
  </si>
  <si>
    <t>Report with charges</t>
  </si>
  <si>
    <t>Generate/print invoice</t>
  </si>
  <si>
    <t>PDF matches Flutter invoice format</t>
  </si>
  <si>
    <t>TC-12.3</t>
  </si>
  <si>
    <t>Totals calculation</t>
  </si>
  <si>
    <t>Multiple line items</t>
  </si>
  <si>
    <t>Open an invoice</t>
  </si>
  <si>
    <t>Subtotal/discount/total correct</t>
  </si>
  <si>
    <t>13. Report Config / Branding</t>
  </si>
  <si>
    <t>TC-13.1</t>
  </si>
  <si>
    <t>Report Config / Branding</t>
  </si>
  <si>
    <t>Load existing config</t>
  </si>
  <si>
    <t>Config saved</t>
  </si>
  <si>
    <t>Open /app/config</t>
  </si>
  <si>
    <t>Saved fields pre-filled</t>
  </si>
  <si>
    <t>TC-13.2</t>
  </si>
  <si>
    <t>Edit lab branding fields</t>
  </si>
  <si>
    <t>Edit name/address/header fields &gt; Save</t>
  </si>
  <si>
    <t>Saved to hospitals/{hid}; success shown</t>
  </si>
  <si>
    <t>TC-13.3</t>
  </si>
  <si>
    <t>Upload logo/signature image</t>
  </si>
  <si>
    <t>Upload image file</t>
  </si>
  <si>
    <t>Uploaded to Storage; URL stored</t>
  </si>
  <si>
    <t>TC-13.4</t>
  </si>
  <si>
    <t>Layout mode switch</t>
  </si>
  <si>
    <t>Toggle digital/image/preprinted</t>
  </si>
  <si>
    <t>Layout option saved; affects PDF</t>
  </si>
  <si>
    <t>TC-13.5</t>
  </si>
  <si>
    <t>Config reflected on PDF</t>
  </si>
  <si>
    <t>Generate a report PDF</t>
  </si>
  <si>
    <t>Branding/layout applied on output</t>
  </si>
  <si>
    <t>TC-13.6</t>
  </si>
  <si>
    <t>Validation of numeric fields</t>
  </si>
  <si>
    <t>Enter invalid number in numeric field</t>
  </si>
  <si>
    <t>Falls back / rejects gracefully</t>
  </si>
  <si>
    <t>14. Staff</t>
  </si>
  <si>
    <t>TC-14.1</t>
  </si>
  <si>
    <t>Staff</t>
  </si>
  <si>
    <t>List staff</t>
  </si>
  <si>
    <t>Open /app/staff</t>
  </si>
  <si>
    <t>Staff members listed</t>
  </si>
  <si>
    <t>TC-14.2</t>
  </si>
  <si>
    <t>Add staff member</t>
  </si>
  <si>
    <t>Add staff with role</t>
  </si>
  <si>
    <t>Saved and listed</t>
  </si>
  <si>
    <t>TC-14.3</t>
  </si>
  <si>
    <t>Edit/remove staff</t>
  </si>
  <si>
    <t>Staff exists</t>
  </si>
  <si>
    <t>Edit or delete</t>
  </si>
  <si>
    <t>Changes persist after confirm</t>
  </si>
  <si>
    <t>15. Activity Log</t>
  </si>
  <si>
    <t>TC-15.1</t>
  </si>
  <si>
    <t>Activity Log</t>
  </si>
  <si>
    <t>View activity log</t>
  </si>
  <si>
    <t>Actions performed</t>
  </si>
  <si>
    <t>Open /app/activity</t>
  </si>
  <si>
    <t>Chronological activity entries shown</t>
  </si>
  <si>
    <t>TC-15.2</t>
  </si>
  <si>
    <t>Log captures key actions</t>
  </si>
  <si>
    <t>Perform save/verify</t>
  </si>
  <si>
    <t>Check log after action</t>
  </si>
  <si>
    <t>New entry recorded with user/time</t>
  </si>
  <si>
    <t>16. Cross-cutting / Non-functional</t>
  </si>
  <si>
    <t>TC-16.1</t>
  </si>
  <si>
    <t>Cross-cutting / Non-functional</t>
  </si>
  <si>
    <t>Responsive layout (mobile)</t>
  </si>
  <si>
    <t>Open app at mobile width</t>
  </si>
  <si>
    <t>Layout adapts; no overflow</t>
  </si>
  <si>
    <t>TC-16.2</t>
  </si>
  <si>
    <t>Network/offline handling</t>
  </si>
  <si>
    <t>Disconnect during an action</t>
  </si>
  <si>
    <t>Graceful error, no data corruption</t>
  </si>
  <si>
    <t>TC-16.3</t>
  </si>
  <si>
    <t>Page load performance</t>
  </si>
  <si>
    <t>Open heavy pages</t>
  </si>
  <si>
    <t>Loads within acceptable time</t>
  </si>
  <si>
    <t>TC-16.4</t>
  </si>
  <si>
    <t>Browser back/forward</t>
  </si>
  <si>
    <t>Use browser nav buttons</t>
  </si>
  <si>
    <t>App state stays consistent</t>
  </si>
  <si>
    <t>TC-16.5</t>
  </si>
  <si>
    <t>Permission/security rules</t>
  </si>
  <si>
    <t>Non-owner user</t>
  </si>
  <si>
    <t>Attempt cross-hospital data access</t>
  </si>
  <si>
    <t>Access denied by rules</t>
  </si>
  <si>
    <t>ABHISHEK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</si>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</sst>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1F4E78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3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0" fillId="0" borderId="1" xfId="0" applyNumberFormat="1" applyBorder="1" applyAlignment="1">
      <alignment horizontal="center"/>
    </xf>
    <xf numFmtId="0" fontId="5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sqref="A1:C1"/>
    </sheetView>
  </sheetViews>
  <sheetFormatPr defaultRowHeight="14.4" x14ac:dyDescent="0.3"/>
  <cols>
    <col min="1" max="1" width="26" customWidth="1"/>
    <col min="2" max="2" width="25.77734375" customWidth="1"/>
    <col min="3" max="3" width="40" customWidth="1"/>
  </cols>
  <sheetData>
    <row r="1" spans="1:3" ht="25.95" customHeight="1" x14ac:dyDescent="0.3">
      <c r="A1" s="13" t="s">
        <v>0</v>
      </c>
      <c r="B1" s="14"/>
      <c r="C1" s="14"/>
    </row>
    <row r="2" spans="1:3" x14ac:dyDescent="0.3">
      <c r="A2" s="1" t="s">
        <v>1</v>
      </c>
      <c r="B2" s="1" t="s">
        <v>2</v>
      </c>
    </row>
    <row r="3" spans="1:3" x14ac:dyDescent="0.3">
      <c r="A3" s="2" t="s">
        <v>3</v>
      </c>
      <c r="B3" s="3" t="s">
        <v>4</v>
      </c>
    </row>
    <row r="4" spans="1:3" x14ac:dyDescent="0.3">
      <c r="A4" s="2" t="s">
        <v>5</v>
      </c>
      <c r="B4" s="3">
        <f>COUNTA('Test Cases'!A3:A89)-16</f>
        <v>71</v>
      </c>
    </row>
    <row r="5" spans="1:3" x14ac:dyDescent="0.3">
      <c r="A5" s="4" t="s">
        <v>6</v>
      </c>
      <c r="B5" s="3">
        <f>COUNTIF('Test Cases'!H:H,"Pass")</f>
        <v>1</v>
      </c>
    </row>
    <row r="6" spans="1:3" x14ac:dyDescent="0.3">
      <c r="A6" s="4" t="s">
        <v>7</v>
      </c>
      <c r="B6" s="3">
        <f>COUNTIF('Test Cases'!H:H,"Fail")</f>
        <v>0</v>
      </c>
    </row>
    <row r="7" spans="1:3" x14ac:dyDescent="0.3">
      <c r="A7" s="4" t="s">
        <v>8</v>
      </c>
      <c r="B7" s="3">
        <f>COUNTIF('Test Cases'!H:H,"Blocked")</f>
        <v>0</v>
      </c>
    </row>
    <row r="8" spans="1:3" x14ac:dyDescent="0.3">
      <c r="A8" s="4" t="s">
        <v>9</v>
      </c>
      <c r="B8" s="3">
        <f>COUNTIF('Test Cases'!H:H,"Not Run")</f>
        <v>70</v>
      </c>
    </row>
    <row r="9" spans="1:3" x14ac:dyDescent="0.3">
      <c r="A9" s="4" t="s">
        <v>10</v>
      </c>
      <c r="B9" s="3">
        <f>COUNTIF('Test Cases'!H:H,"N/A")</f>
        <v>0</v>
      </c>
    </row>
    <row r="10" spans="1:3" x14ac:dyDescent="0.3">
      <c r="A10" s="2" t="s">
        <v>11</v>
      </c>
      <c r="B10" s="5">
        <f>IF(B4=0,0,B5/B4)</f>
        <v>1.4084507042253521E-2</v>
      </c>
    </row>
    <row r="12" spans="1:3" x14ac:dyDescent="0.3">
      <c r="A12" s="6" t="s">
        <v>12</v>
      </c>
    </row>
    <row r="13" spans="1:3" x14ac:dyDescent="0.3">
      <c r="A13" s="7" t="s">
        <v>13</v>
      </c>
    </row>
    <row r="14" spans="1:3" x14ac:dyDescent="0.3">
      <c r="A14" s="7" t="s">
        <v>14</v>
      </c>
    </row>
    <row r="15" spans="1:3" x14ac:dyDescent="0.3">
      <c r="A15" s="7" t="s">
        <v>15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tabSelected="1" workbookViewId="0">
      <pane ySplit="2" topLeftCell="A3" activePane="bottomLeft" state="frozen"/>
      <selection pane="bottomLeft" activeCell="K4" sqref="K4"/>
    </sheetView>
  </sheetViews>
  <sheetFormatPr defaultRowHeight="14.4" x14ac:dyDescent="0.3"/>
  <cols>
    <col min="1" max="1" width="9" customWidth="1"/>
    <col min="2" max="2" width="16" customWidth="1"/>
    <col min="3" max="3" width="40" customWidth="1"/>
    <col min="4" max="4" width="26" customWidth="1"/>
    <col min="5" max="5" width="46" customWidth="1"/>
    <col min="6" max="6" width="40" customWidth="1"/>
    <col min="7" max="7" width="10" customWidth="1"/>
    <col min="8" max="8" width="12" customWidth="1"/>
    <col min="9" max="9" width="14" customWidth="1"/>
    <col min="10" max="10" width="13" customWidth="1"/>
    <col min="11" max="11" width="26" customWidth="1"/>
  </cols>
  <sheetData>
    <row r="1" spans="1:11" ht="25.95" customHeight="1" x14ac:dyDescent="0.3">
      <c r="A1" s="13" t="s">
        <v>16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2.05" customHeight="1" x14ac:dyDescent="0.3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</row>
    <row r="3" spans="1:11" ht="19.95" customHeight="1" x14ac:dyDescent="0.3">
      <c r="A3" s="15" t="s">
        <v>28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30" customHeight="1" x14ac:dyDescent="0.3">
      <c r="A4" s="9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9" t="s">
        <v>35</v>
      </c>
      <c r="H4" s="9" t="s">
        <v>393</v>
      </c>
      <c r="I4" s="10" t="s">
        <v>392</v>
      </c>
      <c r="J4" s="17">
        <v>46187</v>
      </c>
      <c r="K4" s="10"/>
    </row>
    <row r="5" spans="1:11" ht="30" customHeight="1" x14ac:dyDescent="0.3">
      <c r="A5" s="11" t="s">
        <v>36</v>
      </c>
      <c r="B5" s="12" t="s">
        <v>30</v>
      </c>
      <c r="C5" s="12" t="s">
        <v>37</v>
      </c>
      <c r="D5" s="12" t="s">
        <v>38</v>
      </c>
      <c r="E5" s="12" t="s">
        <v>39</v>
      </c>
      <c r="F5" s="12" t="s">
        <v>40</v>
      </c>
      <c r="G5" s="11" t="s">
        <v>35</v>
      </c>
      <c r="H5" s="11" t="s">
        <v>9</v>
      </c>
      <c r="I5" s="12"/>
      <c r="J5" s="11"/>
      <c r="K5" s="12"/>
    </row>
    <row r="6" spans="1:11" ht="30" customHeight="1" x14ac:dyDescent="0.3">
      <c r="A6" s="9" t="s">
        <v>41</v>
      </c>
      <c r="B6" s="10" t="s">
        <v>30</v>
      </c>
      <c r="C6" s="10" t="s">
        <v>42</v>
      </c>
      <c r="D6" s="10" t="s">
        <v>43</v>
      </c>
      <c r="E6" s="10" t="s">
        <v>44</v>
      </c>
      <c r="F6" s="10" t="s">
        <v>45</v>
      </c>
      <c r="G6" s="9" t="s">
        <v>46</v>
      </c>
      <c r="H6" s="9" t="s">
        <v>9</v>
      </c>
      <c r="I6" s="10"/>
      <c r="J6" s="9"/>
      <c r="K6" s="10"/>
    </row>
    <row r="7" spans="1:11" ht="30" customHeight="1" x14ac:dyDescent="0.3">
      <c r="A7" s="11" t="s">
        <v>47</v>
      </c>
      <c r="B7" s="12" t="s">
        <v>30</v>
      </c>
      <c r="C7" s="12" t="s">
        <v>48</v>
      </c>
      <c r="D7" s="12" t="s">
        <v>49</v>
      </c>
      <c r="E7" s="12" t="s">
        <v>50</v>
      </c>
      <c r="F7" s="12" t="s">
        <v>51</v>
      </c>
      <c r="G7" s="11" t="s">
        <v>35</v>
      </c>
      <c r="H7" s="11" t="s">
        <v>9</v>
      </c>
      <c r="I7" s="12"/>
      <c r="J7" s="11"/>
      <c r="K7" s="12"/>
    </row>
    <row r="8" spans="1:11" ht="30" customHeight="1" x14ac:dyDescent="0.3">
      <c r="A8" s="9" t="s">
        <v>52</v>
      </c>
      <c r="B8" s="10" t="s">
        <v>30</v>
      </c>
      <c r="C8" s="10" t="s">
        <v>53</v>
      </c>
      <c r="D8" s="10" t="s">
        <v>54</v>
      </c>
      <c r="E8" s="10" t="s">
        <v>55</v>
      </c>
      <c r="F8" s="10" t="s">
        <v>56</v>
      </c>
      <c r="G8" s="9" t="s">
        <v>46</v>
      </c>
      <c r="H8" s="9" t="s">
        <v>9</v>
      </c>
      <c r="I8" s="10"/>
      <c r="J8" s="9"/>
      <c r="K8" s="10"/>
    </row>
    <row r="9" spans="1:11" ht="30" customHeight="1" x14ac:dyDescent="0.3">
      <c r="A9" s="11" t="s">
        <v>57</v>
      </c>
      <c r="B9" s="12" t="s">
        <v>30</v>
      </c>
      <c r="C9" s="12" t="s">
        <v>58</v>
      </c>
      <c r="D9" s="12" t="s">
        <v>54</v>
      </c>
      <c r="E9" s="12" t="s">
        <v>59</v>
      </c>
      <c r="F9" s="12" t="s">
        <v>60</v>
      </c>
      <c r="G9" s="11" t="s">
        <v>46</v>
      </c>
      <c r="H9" s="11" t="s">
        <v>9</v>
      </c>
      <c r="I9" s="12"/>
      <c r="J9" s="11"/>
      <c r="K9" s="12"/>
    </row>
    <row r="10" spans="1:11" ht="30" customHeight="1" x14ac:dyDescent="0.3">
      <c r="A10" s="9" t="s">
        <v>61</v>
      </c>
      <c r="B10" s="10" t="s">
        <v>30</v>
      </c>
      <c r="C10" s="10" t="s">
        <v>62</v>
      </c>
      <c r="D10" s="10" t="s">
        <v>63</v>
      </c>
      <c r="E10" s="10" t="s">
        <v>64</v>
      </c>
      <c r="F10" s="10" t="s">
        <v>65</v>
      </c>
      <c r="G10" s="9" t="s">
        <v>46</v>
      </c>
      <c r="H10" s="9" t="s">
        <v>9</v>
      </c>
      <c r="I10" s="10"/>
      <c r="J10" s="9"/>
      <c r="K10" s="10"/>
    </row>
    <row r="11" spans="1:11" ht="30" customHeight="1" x14ac:dyDescent="0.3">
      <c r="A11" s="11" t="s">
        <v>66</v>
      </c>
      <c r="B11" s="12" t="s">
        <v>30</v>
      </c>
      <c r="C11" s="12" t="s">
        <v>67</v>
      </c>
      <c r="D11" s="12" t="s">
        <v>68</v>
      </c>
      <c r="E11" s="12" t="s">
        <v>69</v>
      </c>
      <c r="F11" s="12" t="s">
        <v>70</v>
      </c>
      <c r="G11" s="11" t="s">
        <v>35</v>
      </c>
      <c r="H11" s="11" t="s">
        <v>9</v>
      </c>
      <c r="I11" s="12"/>
      <c r="J11" s="11"/>
      <c r="K11" s="12"/>
    </row>
    <row r="12" spans="1:11" ht="30" customHeight="1" x14ac:dyDescent="0.3">
      <c r="A12" s="9" t="s">
        <v>71</v>
      </c>
      <c r="B12" s="10" t="s">
        <v>30</v>
      </c>
      <c r="C12" s="10" t="s">
        <v>72</v>
      </c>
      <c r="D12" s="10" t="s">
        <v>73</v>
      </c>
      <c r="E12" s="10" t="s">
        <v>74</v>
      </c>
      <c r="F12" s="10" t="s">
        <v>75</v>
      </c>
      <c r="G12" s="9" t="s">
        <v>46</v>
      </c>
      <c r="H12" s="9" t="s">
        <v>9</v>
      </c>
      <c r="I12" s="10"/>
      <c r="J12" s="9"/>
      <c r="K12" s="10"/>
    </row>
    <row r="13" spans="1:11" ht="30" customHeight="1" x14ac:dyDescent="0.3">
      <c r="A13" s="11" t="s">
        <v>76</v>
      </c>
      <c r="B13" s="12" t="s">
        <v>30</v>
      </c>
      <c r="C13" s="12" t="s">
        <v>77</v>
      </c>
      <c r="D13" s="12" t="s">
        <v>73</v>
      </c>
      <c r="E13" s="12" t="s">
        <v>78</v>
      </c>
      <c r="F13" s="12" t="s">
        <v>79</v>
      </c>
      <c r="G13" s="11" t="s">
        <v>46</v>
      </c>
      <c r="H13" s="11" t="s">
        <v>9</v>
      </c>
      <c r="I13" s="12"/>
      <c r="J13" s="11"/>
      <c r="K13" s="12"/>
    </row>
    <row r="14" spans="1:11" ht="30" customHeight="1" x14ac:dyDescent="0.3">
      <c r="A14" s="9" t="s">
        <v>80</v>
      </c>
      <c r="B14" s="10" t="s">
        <v>30</v>
      </c>
      <c r="C14" s="10" t="s">
        <v>81</v>
      </c>
      <c r="D14" s="10" t="s">
        <v>82</v>
      </c>
      <c r="E14" s="10" t="s">
        <v>83</v>
      </c>
      <c r="F14" s="10" t="s">
        <v>84</v>
      </c>
      <c r="G14" s="9" t="s">
        <v>85</v>
      </c>
      <c r="H14" s="9" t="s">
        <v>9</v>
      </c>
      <c r="I14" s="10"/>
      <c r="J14" s="9"/>
      <c r="K14" s="10"/>
    </row>
    <row r="15" spans="1:11" ht="19.95" customHeight="1" x14ac:dyDescent="0.3">
      <c r="A15" s="15" t="s">
        <v>86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30" customHeight="1" x14ac:dyDescent="0.3">
      <c r="A16" s="9" t="s">
        <v>87</v>
      </c>
      <c r="B16" s="10" t="s">
        <v>88</v>
      </c>
      <c r="C16" s="10" t="s">
        <v>89</v>
      </c>
      <c r="D16" s="10" t="s">
        <v>43</v>
      </c>
      <c r="E16" s="10" t="s">
        <v>90</v>
      </c>
      <c r="F16" s="10" t="s">
        <v>91</v>
      </c>
      <c r="G16" s="9" t="s">
        <v>85</v>
      </c>
      <c r="H16" s="9" t="s">
        <v>9</v>
      </c>
      <c r="I16" s="10"/>
      <c r="J16" s="9"/>
      <c r="K16" s="10"/>
    </row>
    <row r="17" spans="1:11" ht="30" customHeight="1" x14ac:dyDescent="0.3">
      <c r="A17" s="11" t="s">
        <v>92</v>
      </c>
      <c r="B17" s="12" t="s">
        <v>88</v>
      </c>
      <c r="C17" s="12" t="s">
        <v>93</v>
      </c>
      <c r="D17" s="12" t="s">
        <v>43</v>
      </c>
      <c r="E17" s="12" t="s">
        <v>94</v>
      </c>
      <c r="F17" s="12" t="s">
        <v>95</v>
      </c>
      <c r="G17" s="11" t="s">
        <v>85</v>
      </c>
      <c r="H17" s="11" t="s">
        <v>9</v>
      </c>
      <c r="I17" s="12"/>
      <c r="J17" s="11"/>
      <c r="K17" s="12"/>
    </row>
    <row r="18" spans="1:11" ht="19.95" customHeight="1" x14ac:dyDescent="0.3">
      <c r="A18" s="15" t="s">
        <v>96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30" customHeight="1" x14ac:dyDescent="0.3">
      <c r="A19" s="9" t="s">
        <v>97</v>
      </c>
      <c r="B19" s="10" t="s">
        <v>98</v>
      </c>
      <c r="C19" s="10" t="s">
        <v>99</v>
      </c>
      <c r="D19" s="10" t="s">
        <v>73</v>
      </c>
      <c r="E19" s="10" t="s">
        <v>100</v>
      </c>
      <c r="F19" s="10" t="s">
        <v>101</v>
      </c>
      <c r="G19" s="9" t="s">
        <v>35</v>
      </c>
      <c r="H19" s="9" t="s">
        <v>9</v>
      </c>
      <c r="I19" s="10"/>
      <c r="J19" s="9"/>
      <c r="K19" s="10"/>
    </row>
    <row r="20" spans="1:11" ht="30" customHeight="1" x14ac:dyDescent="0.3">
      <c r="A20" s="11" t="s">
        <v>102</v>
      </c>
      <c r="B20" s="12" t="s">
        <v>98</v>
      </c>
      <c r="C20" s="12" t="s">
        <v>103</v>
      </c>
      <c r="D20" s="12" t="s">
        <v>73</v>
      </c>
      <c r="E20" s="12" t="s">
        <v>104</v>
      </c>
      <c r="F20" s="12" t="s">
        <v>105</v>
      </c>
      <c r="G20" s="11" t="s">
        <v>46</v>
      </c>
      <c r="H20" s="11" t="s">
        <v>9</v>
      </c>
      <c r="I20" s="12"/>
      <c r="J20" s="11"/>
      <c r="K20" s="12"/>
    </row>
    <row r="21" spans="1:11" ht="30" customHeight="1" x14ac:dyDescent="0.3">
      <c r="A21" s="9" t="s">
        <v>106</v>
      </c>
      <c r="B21" s="10" t="s">
        <v>98</v>
      </c>
      <c r="C21" s="10" t="s">
        <v>107</v>
      </c>
      <c r="D21" s="10" t="s">
        <v>108</v>
      </c>
      <c r="E21" s="10" t="s">
        <v>109</v>
      </c>
      <c r="F21" s="10" t="s">
        <v>110</v>
      </c>
      <c r="G21" s="9" t="s">
        <v>46</v>
      </c>
      <c r="H21" s="9" t="s">
        <v>9</v>
      </c>
      <c r="I21" s="10"/>
      <c r="J21" s="9"/>
      <c r="K21" s="10"/>
    </row>
    <row r="22" spans="1:11" ht="19.95" customHeight="1" x14ac:dyDescent="0.3">
      <c r="A22" s="15" t="s">
        <v>111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30" customHeight="1" x14ac:dyDescent="0.3">
      <c r="A23" s="9" t="s">
        <v>112</v>
      </c>
      <c r="B23" s="10" t="s">
        <v>113</v>
      </c>
      <c r="C23" s="10" t="s">
        <v>114</v>
      </c>
      <c r="D23" s="10" t="s">
        <v>115</v>
      </c>
      <c r="E23" s="10" t="s">
        <v>116</v>
      </c>
      <c r="F23" s="10" t="s">
        <v>117</v>
      </c>
      <c r="G23" s="9" t="s">
        <v>35</v>
      </c>
      <c r="H23" s="9" t="s">
        <v>9</v>
      </c>
      <c r="I23" s="10"/>
      <c r="J23" s="9"/>
      <c r="K23" s="10"/>
    </row>
    <row r="24" spans="1:11" ht="30" customHeight="1" x14ac:dyDescent="0.3">
      <c r="A24" s="11" t="s">
        <v>118</v>
      </c>
      <c r="B24" s="12" t="s">
        <v>113</v>
      </c>
      <c r="C24" s="12" t="s">
        <v>119</v>
      </c>
      <c r="D24" s="12" t="s">
        <v>43</v>
      </c>
      <c r="E24" s="12" t="s">
        <v>120</v>
      </c>
      <c r="F24" s="12" t="s">
        <v>121</v>
      </c>
      <c r="G24" s="11" t="s">
        <v>35</v>
      </c>
      <c r="H24" s="11" t="s">
        <v>9</v>
      </c>
      <c r="I24" s="12"/>
      <c r="J24" s="11"/>
      <c r="K24" s="12"/>
    </row>
    <row r="25" spans="1:11" ht="30" customHeight="1" x14ac:dyDescent="0.3">
      <c r="A25" s="9" t="s">
        <v>122</v>
      </c>
      <c r="B25" s="10" t="s">
        <v>113</v>
      </c>
      <c r="C25" s="10" t="s">
        <v>123</v>
      </c>
      <c r="D25" s="10" t="s">
        <v>43</v>
      </c>
      <c r="E25" s="10" t="s">
        <v>124</v>
      </c>
      <c r="F25" s="10" t="s">
        <v>125</v>
      </c>
      <c r="G25" s="9" t="s">
        <v>46</v>
      </c>
      <c r="H25" s="9" t="s">
        <v>9</v>
      </c>
      <c r="I25" s="10"/>
      <c r="J25" s="9"/>
      <c r="K25" s="10"/>
    </row>
    <row r="26" spans="1:11" ht="30" customHeight="1" x14ac:dyDescent="0.3">
      <c r="A26" s="11" t="s">
        <v>126</v>
      </c>
      <c r="B26" s="12" t="s">
        <v>113</v>
      </c>
      <c r="C26" s="12" t="s">
        <v>127</v>
      </c>
      <c r="D26" s="12" t="s">
        <v>128</v>
      </c>
      <c r="E26" s="12" t="s">
        <v>129</v>
      </c>
      <c r="F26" s="12" t="s">
        <v>130</v>
      </c>
      <c r="G26" s="11" t="s">
        <v>35</v>
      </c>
      <c r="H26" s="11" t="s">
        <v>9</v>
      </c>
      <c r="I26" s="12"/>
      <c r="J26" s="11"/>
      <c r="K26" s="12"/>
    </row>
    <row r="27" spans="1:11" ht="30" customHeight="1" x14ac:dyDescent="0.3">
      <c r="A27" s="9" t="s">
        <v>131</v>
      </c>
      <c r="B27" s="10" t="s">
        <v>113</v>
      </c>
      <c r="C27" s="10" t="s">
        <v>132</v>
      </c>
      <c r="D27" s="10" t="s">
        <v>133</v>
      </c>
      <c r="E27" s="10" t="s">
        <v>134</v>
      </c>
      <c r="F27" s="10" t="s">
        <v>135</v>
      </c>
      <c r="G27" s="9" t="s">
        <v>46</v>
      </c>
      <c r="H27" s="9" t="s">
        <v>9</v>
      </c>
      <c r="I27" s="10"/>
      <c r="J27" s="9"/>
      <c r="K27" s="10"/>
    </row>
    <row r="28" spans="1:11" ht="30" customHeight="1" x14ac:dyDescent="0.3">
      <c r="A28" s="11" t="s">
        <v>136</v>
      </c>
      <c r="B28" s="12" t="s">
        <v>113</v>
      </c>
      <c r="C28" s="12" t="s">
        <v>137</v>
      </c>
      <c r="D28" s="12" t="s">
        <v>43</v>
      </c>
      <c r="E28" s="12" t="s">
        <v>138</v>
      </c>
      <c r="F28" s="12" t="s">
        <v>139</v>
      </c>
      <c r="G28" s="11" t="s">
        <v>85</v>
      </c>
      <c r="H28" s="11" t="s">
        <v>9</v>
      </c>
      <c r="I28" s="12"/>
      <c r="J28" s="11"/>
      <c r="K28" s="12"/>
    </row>
    <row r="29" spans="1:11" ht="30" customHeight="1" x14ac:dyDescent="0.3">
      <c r="A29" s="9" t="s">
        <v>140</v>
      </c>
      <c r="B29" s="10" t="s">
        <v>113</v>
      </c>
      <c r="C29" s="10" t="s">
        <v>141</v>
      </c>
      <c r="D29" s="10" t="s">
        <v>142</v>
      </c>
      <c r="E29" s="10" t="s">
        <v>143</v>
      </c>
      <c r="F29" s="10" t="s">
        <v>144</v>
      </c>
      <c r="G29" s="9" t="s">
        <v>46</v>
      </c>
      <c r="H29" s="9" t="s">
        <v>9</v>
      </c>
      <c r="I29" s="10"/>
      <c r="J29" s="9"/>
      <c r="K29" s="10"/>
    </row>
    <row r="30" spans="1:11" ht="19.95" customHeight="1" x14ac:dyDescent="0.3">
      <c r="A30" s="15" t="s">
        <v>145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0" customHeight="1" x14ac:dyDescent="0.3">
      <c r="A31" s="9" t="s">
        <v>146</v>
      </c>
      <c r="B31" s="10" t="s">
        <v>147</v>
      </c>
      <c r="C31" s="10" t="s">
        <v>148</v>
      </c>
      <c r="D31" s="10" t="s">
        <v>149</v>
      </c>
      <c r="E31" s="10" t="s">
        <v>150</v>
      </c>
      <c r="F31" s="10" t="s">
        <v>151</v>
      </c>
      <c r="G31" s="9" t="s">
        <v>35</v>
      </c>
      <c r="H31" s="9" t="s">
        <v>9</v>
      </c>
      <c r="I31" s="10"/>
      <c r="J31" s="9"/>
      <c r="K31" s="10"/>
    </row>
    <row r="32" spans="1:11" ht="30" customHeight="1" x14ac:dyDescent="0.3">
      <c r="A32" s="11" t="s">
        <v>152</v>
      </c>
      <c r="B32" s="12" t="s">
        <v>147</v>
      </c>
      <c r="C32" s="12" t="s">
        <v>153</v>
      </c>
      <c r="D32" s="12" t="s">
        <v>154</v>
      </c>
      <c r="E32" s="12" t="s">
        <v>155</v>
      </c>
      <c r="F32" s="12" t="s">
        <v>156</v>
      </c>
      <c r="G32" s="11" t="s">
        <v>35</v>
      </c>
      <c r="H32" s="11" t="s">
        <v>9</v>
      </c>
      <c r="I32" s="12"/>
      <c r="J32" s="11"/>
      <c r="K32" s="12"/>
    </row>
    <row r="33" spans="1:11" ht="30" customHeight="1" x14ac:dyDescent="0.3">
      <c r="A33" s="9" t="s">
        <v>157</v>
      </c>
      <c r="B33" s="10" t="s">
        <v>147</v>
      </c>
      <c r="C33" s="10" t="s">
        <v>158</v>
      </c>
      <c r="D33" s="10" t="s">
        <v>159</v>
      </c>
      <c r="E33" s="10" t="s">
        <v>160</v>
      </c>
      <c r="F33" s="10" t="s">
        <v>161</v>
      </c>
      <c r="G33" s="9" t="s">
        <v>46</v>
      </c>
      <c r="H33" s="9" t="s">
        <v>9</v>
      </c>
      <c r="I33" s="10"/>
      <c r="J33" s="9"/>
      <c r="K33" s="10"/>
    </row>
    <row r="34" spans="1:11" ht="30" customHeight="1" x14ac:dyDescent="0.3">
      <c r="A34" s="11" t="s">
        <v>162</v>
      </c>
      <c r="B34" s="12" t="s">
        <v>147</v>
      </c>
      <c r="C34" s="12" t="s">
        <v>163</v>
      </c>
      <c r="D34" s="12" t="s">
        <v>164</v>
      </c>
      <c r="E34" s="12" t="s">
        <v>165</v>
      </c>
      <c r="F34" s="12" t="s">
        <v>166</v>
      </c>
      <c r="G34" s="11" t="s">
        <v>46</v>
      </c>
      <c r="H34" s="11" t="s">
        <v>9</v>
      </c>
      <c r="I34" s="12"/>
      <c r="J34" s="11"/>
      <c r="K34" s="12"/>
    </row>
    <row r="35" spans="1:11" ht="19.95" customHeight="1" x14ac:dyDescent="0.3">
      <c r="A35" s="15" t="s">
        <v>167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30" customHeight="1" x14ac:dyDescent="0.3">
      <c r="A36" s="9" t="s">
        <v>168</v>
      </c>
      <c r="B36" s="10" t="s">
        <v>169</v>
      </c>
      <c r="C36" s="10" t="s">
        <v>170</v>
      </c>
      <c r="D36" s="10" t="s">
        <v>171</v>
      </c>
      <c r="E36" s="10" t="s">
        <v>172</v>
      </c>
      <c r="F36" s="10" t="s">
        <v>173</v>
      </c>
      <c r="G36" s="9" t="s">
        <v>35</v>
      </c>
      <c r="H36" s="9" t="s">
        <v>9</v>
      </c>
      <c r="I36" s="10"/>
      <c r="J36" s="9"/>
      <c r="K36" s="10"/>
    </row>
    <row r="37" spans="1:11" ht="30" customHeight="1" x14ac:dyDescent="0.3">
      <c r="A37" s="11" t="s">
        <v>174</v>
      </c>
      <c r="B37" s="12" t="s">
        <v>169</v>
      </c>
      <c r="C37" s="12" t="s">
        <v>175</v>
      </c>
      <c r="D37" s="12" t="s">
        <v>176</v>
      </c>
      <c r="E37" s="12" t="s">
        <v>177</v>
      </c>
      <c r="F37" s="12" t="s">
        <v>178</v>
      </c>
      <c r="G37" s="11" t="s">
        <v>35</v>
      </c>
      <c r="H37" s="11" t="s">
        <v>9</v>
      </c>
      <c r="I37" s="12"/>
      <c r="J37" s="11"/>
      <c r="K37" s="12"/>
    </row>
    <row r="38" spans="1:11" ht="30" customHeight="1" x14ac:dyDescent="0.3">
      <c r="A38" s="9" t="s">
        <v>179</v>
      </c>
      <c r="B38" s="10" t="s">
        <v>169</v>
      </c>
      <c r="C38" s="10" t="s">
        <v>180</v>
      </c>
      <c r="D38" s="10" t="s">
        <v>181</v>
      </c>
      <c r="E38" s="10" t="s">
        <v>175</v>
      </c>
      <c r="F38" s="10" t="s">
        <v>182</v>
      </c>
      <c r="G38" s="9" t="s">
        <v>35</v>
      </c>
      <c r="H38" s="9" t="s">
        <v>9</v>
      </c>
      <c r="I38" s="10"/>
      <c r="J38" s="9"/>
      <c r="K38" s="10"/>
    </row>
    <row r="39" spans="1:11" ht="30" customHeight="1" x14ac:dyDescent="0.3">
      <c r="A39" s="11" t="s">
        <v>183</v>
      </c>
      <c r="B39" s="12" t="s">
        <v>169</v>
      </c>
      <c r="C39" s="12" t="s">
        <v>184</v>
      </c>
      <c r="D39" s="12" t="s">
        <v>185</v>
      </c>
      <c r="E39" s="12" t="s">
        <v>186</v>
      </c>
      <c r="F39" s="12" t="s">
        <v>187</v>
      </c>
      <c r="G39" s="11" t="s">
        <v>46</v>
      </c>
      <c r="H39" s="11" t="s">
        <v>9</v>
      </c>
      <c r="I39" s="12"/>
      <c r="J39" s="11"/>
      <c r="K39" s="12"/>
    </row>
    <row r="40" spans="1:11" ht="30" customHeight="1" x14ac:dyDescent="0.3">
      <c r="A40" s="9" t="s">
        <v>188</v>
      </c>
      <c r="B40" s="10" t="s">
        <v>169</v>
      </c>
      <c r="C40" s="10" t="s">
        <v>189</v>
      </c>
      <c r="D40" s="10" t="s">
        <v>190</v>
      </c>
      <c r="E40" s="10" t="s">
        <v>191</v>
      </c>
      <c r="F40" s="10" t="s">
        <v>192</v>
      </c>
      <c r="G40" s="9" t="s">
        <v>46</v>
      </c>
      <c r="H40" s="9" t="s">
        <v>9</v>
      </c>
      <c r="I40" s="10"/>
      <c r="J40" s="9"/>
      <c r="K40" s="10"/>
    </row>
    <row r="41" spans="1:11" ht="19.95" customHeight="1" x14ac:dyDescent="0.3">
      <c r="A41" s="15" t="s">
        <v>193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30" customHeight="1" x14ac:dyDescent="0.3">
      <c r="A42" s="9" t="s">
        <v>194</v>
      </c>
      <c r="B42" s="10" t="s">
        <v>195</v>
      </c>
      <c r="C42" s="10" t="s">
        <v>196</v>
      </c>
      <c r="D42" s="10" t="s">
        <v>197</v>
      </c>
      <c r="E42" s="10" t="s">
        <v>198</v>
      </c>
      <c r="F42" s="10" t="s">
        <v>199</v>
      </c>
      <c r="G42" s="9" t="s">
        <v>35</v>
      </c>
      <c r="H42" s="9" t="s">
        <v>9</v>
      </c>
      <c r="I42" s="10"/>
      <c r="J42" s="9"/>
      <c r="K42" s="10"/>
    </row>
    <row r="43" spans="1:11" ht="30" customHeight="1" x14ac:dyDescent="0.3">
      <c r="A43" s="11" t="s">
        <v>200</v>
      </c>
      <c r="B43" s="12" t="s">
        <v>195</v>
      </c>
      <c r="C43" s="12" t="s">
        <v>201</v>
      </c>
      <c r="D43" s="12" t="s">
        <v>202</v>
      </c>
      <c r="E43" s="12" t="s">
        <v>203</v>
      </c>
      <c r="F43" s="12" t="s">
        <v>204</v>
      </c>
      <c r="G43" s="11" t="s">
        <v>46</v>
      </c>
      <c r="H43" s="11" t="s">
        <v>9</v>
      </c>
      <c r="I43" s="12"/>
      <c r="J43" s="11"/>
      <c r="K43" s="12"/>
    </row>
    <row r="44" spans="1:11" ht="30" customHeight="1" x14ac:dyDescent="0.3">
      <c r="A44" s="9" t="s">
        <v>205</v>
      </c>
      <c r="B44" s="10" t="s">
        <v>195</v>
      </c>
      <c r="C44" s="10" t="s">
        <v>206</v>
      </c>
      <c r="D44" s="10" t="s">
        <v>207</v>
      </c>
      <c r="E44" s="10" t="s">
        <v>208</v>
      </c>
      <c r="F44" s="10" t="s">
        <v>209</v>
      </c>
      <c r="G44" s="9" t="s">
        <v>46</v>
      </c>
      <c r="H44" s="9" t="s">
        <v>9</v>
      </c>
      <c r="I44" s="10"/>
      <c r="J44" s="9"/>
      <c r="K44" s="10"/>
    </row>
    <row r="45" spans="1:11" ht="30" customHeight="1" x14ac:dyDescent="0.3">
      <c r="A45" s="11" t="s">
        <v>210</v>
      </c>
      <c r="B45" s="12" t="s">
        <v>195</v>
      </c>
      <c r="C45" s="12" t="s">
        <v>211</v>
      </c>
      <c r="D45" s="12" t="s">
        <v>212</v>
      </c>
      <c r="E45" s="12" t="s">
        <v>213</v>
      </c>
      <c r="F45" s="12" t="s">
        <v>214</v>
      </c>
      <c r="G45" s="11" t="s">
        <v>35</v>
      </c>
      <c r="H45" s="11" t="s">
        <v>9</v>
      </c>
      <c r="I45" s="12"/>
      <c r="J45" s="11"/>
      <c r="K45" s="12"/>
    </row>
    <row r="46" spans="1:11" ht="30" customHeight="1" x14ac:dyDescent="0.3">
      <c r="A46" s="9" t="s">
        <v>215</v>
      </c>
      <c r="B46" s="10" t="s">
        <v>195</v>
      </c>
      <c r="C46" s="10" t="s">
        <v>216</v>
      </c>
      <c r="D46" s="10" t="s">
        <v>217</v>
      </c>
      <c r="E46" s="10" t="s">
        <v>218</v>
      </c>
      <c r="F46" s="10" t="s">
        <v>219</v>
      </c>
      <c r="G46" s="9" t="s">
        <v>85</v>
      </c>
      <c r="H46" s="9" t="s">
        <v>9</v>
      </c>
      <c r="I46" s="10"/>
      <c r="J46" s="9"/>
      <c r="K46" s="10"/>
    </row>
    <row r="47" spans="1:11" ht="19.95" customHeight="1" x14ac:dyDescent="0.3">
      <c r="A47" s="15" t="s">
        <v>220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 ht="30" customHeight="1" x14ac:dyDescent="0.3">
      <c r="A48" s="9" t="s">
        <v>221</v>
      </c>
      <c r="B48" s="10" t="s">
        <v>222</v>
      </c>
      <c r="C48" s="10" t="s">
        <v>223</v>
      </c>
      <c r="D48" s="10" t="s">
        <v>224</v>
      </c>
      <c r="E48" s="10" t="s">
        <v>225</v>
      </c>
      <c r="F48" s="10" t="s">
        <v>226</v>
      </c>
      <c r="G48" s="9" t="s">
        <v>35</v>
      </c>
      <c r="H48" s="9" t="s">
        <v>9</v>
      </c>
      <c r="I48" s="10"/>
      <c r="J48" s="9"/>
      <c r="K48" s="10"/>
    </row>
    <row r="49" spans="1:11" ht="30" customHeight="1" x14ac:dyDescent="0.3">
      <c r="A49" s="11" t="s">
        <v>227</v>
      </c>
      <c r="B49" s="12" t="s">
        <v>222</v>
      </c>
      <c r="C49" s="12" t="s">
        <v>228</v>
      </c>
      <c r="D49" s="12" t="s">
        <v>229</v>
      </c>
      <c r="E49" s="12" t="s">
        <v>230</v>
      </c>
      <c r="F49" s="12" t="s">
        <v>231</v>
      </c>
      <c r="G49" s="11" t="s">
        <v>35</v>
      </c>
      <c r="H49" s="11" t="s">
        <v>9</v>
      </c>
      <c r="I49" s="12"/>
      <c r="J49" s="11"/>
      <c r="K49" s="12"/>
    </row>
    <row r="50" spans="1:11" ht="19.95" customHeight="1" x14ac:dyDescent="0.3">
      <c r="A50" s="15" t="s">
        <v>232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ht="30" customHeight="1" x14ac:dyDescent="0.3">
      <c r="A51" s="9" t="s">
        <v>233</v>
      </c>
      <c r="B51" s="10" t="s">
        <v>234</v>
      </c>
      <c r="C51" s="10" t="s">
        <v>235</v>
      </c>
      <c r="D51" s="10" t="s">
        <v>236</v>
      </c>
      <c r="E51" s="10" t="s">
        <v>237</v>
      </c>
      <c r="F51" s="10" t="s">
        <v>238</v>
      </c>
      <c r="G51" s="9" t="s">
        <v>35</v>
      </c>
      <c r="H51" s="9" t="s">
        <v>9</v>
      </c>
      <c r="I51" s="10"/>
      <c r="J51" s="9"/>
      <c r="K51" s="10"/>
    </row>
    <row r="52" spans="1:11" ht="30" customHeight="1" x14ac:dyDescent="0.3">
      <c r="A52" s="11" t="s">
        <v>239</v>
      </c>
      <c r="B52" s="12" t="s">
        <v>234</v>
      </c>
      <c r="C52" s="12" t="s">
        <v>240</v>
      </c>
      <c r="D52" s="12" t="s">
        <v>43</v>
      </c>
      <c r="E52" s="12" t="s">
        <v>241</v>
      </c>
      <c r="F52" s="12" t="s">
        <v>242</v>
      </c>
      <c r="G52" s="11" t="s">
        <v>46</v>
      </c>
      <c r="H52" s="11" t="s">
        <v>9</v>
      </c>
      <c r="I52" s="12"/>
      <c r="J52" s="11"/>
      <c r="K52" s="12"/>
    </row>
    <row r="53" spans="1:11" ht="30" customHeight="1" x14ac:dyDescent="0.3">
      <c r="A53" s="9" t="s">
        <v>243</v>
      </c>
      <c r="B53" s="10" t="s">
        <v>234</v>
      </c>
      <c r="C53" s="10" t="s">
        <v>244</v>
      </c>
      <c r="D53" s="10" t="s">
        <v>245</v>
      </c>
      <c r="E53" s="10" t="s">
        <v>246</v>
      </c>
      <c r="F53" s="10" t="s">
        <v>247</v>
      </c>
      <c r="G53" s="9" t="s">
        <v>46</v>
      </c>
      <c r="H53" s="9" t="s">
        <v>9</v>
      </c>
      <c r="I53" s="10"/>
      <c r="J53" s="9"/>
      <c r="K53" s="10"/>
    </row>
    <row r="54" spans="1:11" ht="30" customHeight="1" x14ac:dyDescent="0.3">
      <c r="A54" s="11" t="s">
        <v>248</v>
      </c>
      <c r="B54" s="12" t="s">
        <v>234</v>
      </c>
      <c r="C54" s="12" t="s">
        <v>249</v>
      </c>
      <c r="D54" s="12" t="s">
        <v>68</v>
      </c>
      <c r="E54" s="12" t="s">
        <v>250</v>
      </c>
      <c r="F54" s="12" t="s">
        <v>251</v>
      </c>
      <c r="G54" s="11" t="s">
        <v>35</v>
      </c>
      <c r="H54" s="11" t="s">
        <v>9</v>
      </c>
      <c r="I54" s="12"/>
      <c r="J54" s="11"/>
      <c r="K54" s="12"/>
    </row>
    <row r="55" spans="1:11" ht="19.95" customHeight="1" x14ac:dyDescent="0.3">
      <c r="A55" s="15" t="s">
        <v>252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 ht="30" customHeight="1" x14ac:dyDescent="0.3">
      <c r="A56" s="9" t="s">
        <v>253</v>
      </c>
      <c r="B56" s="10" t="s">
        <v>254</v>
      </c>
      <c r="C56" s="10" t="s">
        <v>255</v>
      </c>
      <c r="D56" s="10" t="s">
        <v>73</v>
      </c>
      <c r="E56" s="10" t="s">
        <v>256</v>
      </c>
      <c r="F56" s="10" t="s">
        <v>257</v>
      </c>
      <c r="G56" s="9" t="s">
        <v>46</v>
      </c>
      <c r="H56" s="9" t="s">
        <v>9</v>
      </c>
      <c r="I56" s="10"/>
      <c r="J56" s="9"/>
      <c r="K56" s="10"/>
    </row>
    <row r="57" spans="1:11" ht="30" customHeight="1" x14ac:dyDescent="0.3">
      <c r="A57" s="11" t="s">
        <v>258</v>
      </c>
      <c r="B57" s="12" t="s">
        <v>254</v>
      </c>
      <c r="C57" s="12" t="s">
        <v>259</v>
      </c>
      <c r="D57" s="12" t="s">
        <v>43</v>
      </c>
      <c r="E57" s="12" t="s">
        <v>260</v>
      </c>
      <c r="F57" s="12" t="s">
        <v>261</v>
      </c>
      <c r="G57" s="11" t="s">
        <v>35</v>
      </c>
      <c r="H57" s="11" t="s">
        <v>9</v>
      </c>
      <c r="I57" s="12"/>
      <c r="J57" s="11"/>
      <c r="K57" s="12"/>
    </row>
    <row r="58" spans="1:11" ht="30" customHeight="1" x14ac:dyDescent="0.3">
      <c r="A58" s="9" t="s">
        <v>262</v>
      </c>
      <c r="B58" s="10" t="s">
        <v>254</v>
      </c>
      <c r="C58" s="10" t="s">
        <v>263</v>
      </c>
      <c r="D58" s="10" t="s">
        <v>264</v>
      </c>
      <c r="E58" s="10" t="s">
        <v>265</v>
      </c>
      <c r="F58" s="10" t="s">
        <v>266</v>
      </c>
      <c r="G58" s="9" t="s">
        <v>46</v>
      </c>
      <c r="H58" s="9" t="s">
        <v>9</v>
      </c>
      <c r="I58" s="10"/>
      <c r="J58" s="9"/>
      <c r="K58" s="10"/>
    </row>
    <row r="59" spans="1:11" ht="30" customHeight="1" x14ac:dyDescent="0.3">
      <c r="A59" s="11" t="s">
        <v>267</v>
      </c>
      <c r="B59" s="12" t="s">
        <v>254</v>
      </c>
      <c r="C59" s="12" t="s">
        <v>268</v>
      </c>
      <c r="D59" s="12" t="s">
        <v>264</v>
      </c>
      <c r="E59" s="12" t="s">
        <v>269</v>
      </c>
      <c r="F59" s="12" t="s">
        <v>270</v>
      </c>
      <c r="G59" s="11" t="s">
        <v>46</v>
      </c>
      <c r="H59" s="11" t="s">
        <v>9</v>
      </c>
      <c r="I59" s="12"/>
      <c r="J59" s="11"/>
      <c r="K59" s="12"/>
    </row>
    <row r="60" spans="1:11" ht="30" customHeight="1" x14ac:dyDescent="0.3">
      <c r="A60" s="9" t="s">
        <v>271</v>
      </c>
      <c r="B60" s="10" t="s">
        <v>254</v>
      </c>
      <c r="C60" s="10" t="s">
        <v>272</v>
      </c>
      <c r="D60" s="10" t="s">
        <v>273</v>
      </c>
      <c r="E60" s="10" t="s">
        <v>274</v>
      </c>
      <c r="F60" s="10" t="s">
        <v>275</v>
      </c>
      <c r="G60" s="9" t="s">
        <v>85</v>
      </c>
      <c r="H60" s="9" t="s">
        <v>9</v>
      </c>
      <c r="I60" s="10"/>
      <c r="J60" s="9"/>
      <c r="K60" s="10"/>
    </row>
    <row r="61" spans="1:11" ht="19.95" customHeight="1" x14ac:dyDescent="0.3">
      <c r="A61" s="15" t="s">
        <v>276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 ht="30" customHeight="1" x14ac:dyDescent="0.3">
      <c r="A62" s="9" t="s">
        <v>277</v>
      </c>
      <c r="B62" s="10" t="s">
        <v>278</v>
      </c>
      <c r="C62" s="10" t="s">
        <v>279</v>
      </c>
      <c r="D62" s="10" t="s">
        <v>280</v>
      </c>
      <c r="E62" s="10" t="s">
        <v>281</v>
      </c>
      <c r="F62" s="10" t="s">
        <v>282</v>
      </c>
      <c r="G62" s="9" t="s">
        <v>46</v>
      </c>
      <c r="H62" s="9" t="s">
        <v>9</v>
      </c>
      <c r="I62" s="10"/>
      <c r="J62" s="9"/>
      <c r="K62" s="10"/>
    </row>
    <row r="63" spans="1:11" ht="30" customHeight="1" x14ac:dyDescent="0.3">
      <c r="A63" s="11" t="s">
        <v>283</v>
      </c>
      <c r="B63" s="12" t="s">
        <v>278</v>
      </c>
      <c r="C63" s="12" t="s">
        <v>284</v>
      </c>
      <c r="D63" s="12" t="s">
        <v>285</v>
      </c>
      <c r="E63" s="12" t="s">
        <v>286</v>
      </c>
      <c r="F63" s="12" t="s">
        <v>287</v>
      </c>
      <c r="G63" s="11" t="s">
        <v>46</v>
      </c>
      <c r="H63" s="11" t="s">
        <v>9</v>
      </c>
      <c r="I63" s="12"/>
      <c r="J63" s="11"/>
      <c r="K63" s="12"/>
    </row>
    <row r="64" spans="1:11" ht="30" customHeight="1" x14ac:dyDescent="0.3">
      <c r="A64" s="9" t="s">
        <v>288</v>
      </c>
      <c r="B64" s="10" t="s">
        <v>278</v>
      </c>
      <c r="C64" s="10" t="s">
        <v>289</v>
      </c>
      <c r="D64" s="10" t="s">
        <v>290</v>
      </c>
      <c r="E64" s="10" t="s">
        <v>291</v>
      </c>
      <c r="F64" s="10" t="s">
        <v>292</v>
      </c>
      <c r="G64" s="9" t="s">
        <v>46</v>
      </c>
      <c r="H64" s="9" t="s">
        <v>9</v>
      </c>
      <c r="I64" s="10"/>
      <c r="J64" s="9"/>
      <c r="K64" s="10"/>
    </row>
    <row r="65" spans="1:11" ht="30" customHeight="1" x14ac:dyDescent="0.3">
      <c r="A65" s="11" t="s">
        <v>293</v>
      </c>
      <c r="B65" s="12" t="s">
        <v>278</v>
      </c>
      <c r="C65" s="12" t="s">
        <v>294</v>
      </c>
      <c r="D65" s="12" t="s">
        <v>295</v>
      </c>
      <c r="E65" s="12" t="s">
        <v>296</v>
      </c>
      <c r="F65" s="12" t="s">
        <v>297</v>
      </c>
      <c r="G65" s="11" t="s">
        <v>46</v>
      </c>
      <c r="H65" s="11" t="s">
        <v>9</v>
      </c>
      <c r="I65" s="12"/>
      <c r="J65" s="11"/>
      <c r="K65" s="12"/>
    </row>
    <row r="66" spans="1:11" ht="19.95" customHeight="1" x14ac:dyDescent="0.3">
      <c r="A66" s="15" t="s">
        <v>298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 ht="30" customHeight="1" x14ac:dyDescent="0.3">
      <c r="A67" s="9" t="s">
        <v>299</v>
      </c>
      <c r="B67" s="10" t="s">
        <v>300</v>
      </c>
      <c r="C67" s="10" t="s">
        <v>301</v>
      </c>
      <c r="D67" s="10" t="s">
        <v>302</v>
      </c>
      <c r="E67" s="10" t="s">
        <v>303</v>
      </c>
      <c r="F67" s="10" t="s">
        <v>304</v>
      </c>
      <c r="G67" s="9" t="s">
        <v>46</v>
      </c>
      <c r="H67" s="9" t="s">
        <v>9</v>
      </c>
      <c r="I67" s="10"/>
      <c r="J67" s="9"/>
      <c r="K67" s="10"/>
    </row>
    <row r="68" spans="1:11" ht="30" customHeight="1" x14ac:dyDescent="0.3">
      <c r="A68" s="11" t="s">
        <v>305</v>
      </c>
      <c r="B68" s="12" t="s">
        <v>300</v>
      </c>
      <c r="C68" s="12" t="s">
        <v>306</v>
      </c>
      <c r="D68" s="12" t="s">
        <v>307</v>
      </c>
      <c r="E68" s="12" t="s">
        <v>308</v>
      </c>
      <c r="F68" s="12" t="s">
        <v>309</v>
      </c>
      <c r="G68" s="11" t="s">
        <v>35</v>
      </c>
      <c r="H68" s="11" t="s">
        <v>9</v>
      </c>
      <c r="I68" s="12"/>
      <c r="J68" s="11"/>
      <c r="K68" s="12"/>
    </row>
    <row r="69" spans="1:11" ht="30" customHeight="1" x14ac:dyDescent="0.3">
      <c r="A69" s="9" t="s">
        <v>310</v>
      </c>
      <c r="B69" s="10" t="s">
        <v>300</v>
      </c>
      <c r="C69" s="10" t="s">
        <v>311</v>
      </c>
      <c r="D69" s="10" t="s">
        <v>312</v>
      </c>
      <c r="E69" s="10" t="s">
        <v>313</v>
      </c>
      <c r="F69" s="10" t="s">
        <v>314</v>
      </c>
      <c r="G69" s="9" t="s">
        <v>35</v>
      </c>
      <c r="H69" s="9" t="s">
        <v>9</v>
      </c>
      <c r="I69" s="10"/>
      <c r="J69" s="9"/>
      <c r="K69" s="10"/>
    </row>
    <row r="70" spans="1:11" ht="19.95" customHeight="1" x14ac:dyDescent="0.3">
      <c r="A70" s="15" t="s">
        <v>315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30" customHeight="1" x14ac:dyDescent="0.3">
      <c r="A71" s="9" t="s">
        <v>316</v>
      </c>
      <c r="B71" s="10" t="s">
        <v>317</v>
      </c>
      <c r="C71" s="10" t="s">
        <v>318</v>
      </c>
      <c r="D71" s="10" t="s">
        <v>319</v>
      </c>
      <c r="E71" s="10" t="s">
        <v>320</v>
      </c>
      <c r="F71" s="10" t="s">
        <v>321</v>
      </c>
      <c r="G71" s="9" t="s">
        <v>46</v>
      </c>
      <c r="H71" s="9" t="s">
        <v>9</v>
      </c>
      <c r="I71" s="10"/>
      <c r="J71" s="9"/>
      <c r="K71" s="10"/>
    </row>
    <row r="72" spans="1:11" ht="30" customHeight="1" x14ac:dyDescent="0.3">
      <c r="A72" s="11" t="s">
        <v>322</v>
      </c>
      <c r="B72" s="12" t="s">
        <v>317</v>
      </c>
      <c r="C72" s="12" t="s">
        <v>323</v>
      </c>
      <c r="D72" s="12" t="s">
        <v>43</v>
      </c>
      <c r="E72" s="12" t="s">
        <v>324</v>
      </c>
      <c r="F72" s="12" t="s">
        <v>325</v>
      </c>
      <c r="G72" s="11" t="s">
        <v>35</v>
      </c>
      <c r="H72" s="11" t="s">
        <v>9</v>
      </c>
      <c r="I72" s="12"/>
      <c r="J72" s="11"/>
      <c r="K72" s="12"/>
    </row>
    <row r="73" spans="1:11" ht="30" customHeight="1" x14ac:dyDescent="0.3">
      <c r="A73" s="9" t="s">
        <v>326</v>
      </c>
      <c r="B73" s="10" t="s">
        <v>317</v>
      </c>
      <c r="C73" s="10" t="s">
        <v>327</v>
      </c>
      <c r="D73" s="10" t="s">
        <v>43</v>
      </c>
      <c r="E73" s="10" t="s">
        <v>328</v>
      </c>
      <c r="F73" s="10" t="s">
        <v>329</v>
      </c>
      <c r="G73" s="9" t="s">
        <v>46</v>
      </c>
      <c r="H73" s="9" t="s">
        <v>9</v>
      </c>
      <c r="I73" s="10"/>
      <c r="J73" s="9"/>
      <c r="K73" s="10"/>
    </row>
    <row r="74" spans="1:11" ht="30" customHeight="1" x14ac:dyDescent="0.3">
      <c r="A74" s="11" t="s">
        <v>330</v>
      </c>
      <c r="B74" s="12" t="s">
        <v>317</v>
      </c>
      <c r="C74" s="12" t="s">
        <v>331</v>
      </c>
      <c r="D74" s="12" t="s">
        <v>43</v>
      </c>
      <c r="E74" s="12" t="s">
        <v>332</v>
      </c>
      <c r="F74" s="12" t="s">
        <v>333</v>
      </c>
      <c r="G74" s="11" t="s">
        <v>46</v>
      </c>
      <c r="H74" s="11" t="s">
        <v>9</v>
      </c>
      <c r="I74" s="12"/>
      <c r="J74" s="11"/>
      <c r="K74" s="12"/>
    </row>
    <row r="75" spans="1:11" ht="30" customHeight="1" x14ac:dyDescent="0.3">
      <c r="A75" s="9" t="s">
        <v>334</v>
      </c>
      <c r="B75" s="10" t="s">
        <v>317</v>
      </c>
      <c r="C75" s="10" t="s">
        <v>335</v>
      </c>
      <c r="D75" s="10" t="s">
        <v>319</v>
      </c>
      <c r="E75" s="10" t="s">
        <v>336</v>
      </c>
      <c r="F75" s="10" t="s">
        <v>337</v>
      </c>
      <c r="G75" s="9" t="s">
        <v>35</v>
      </c>
      <c r="H75" s="9" t="s">
        <v>9</v>
      </c>
      <c r="I75" s="10"/>
      <c r="J75" s="9"/>
      <c r="K75" s="10"/>
    </row>
    <row r="76" spans="1:11" ht="30" customHeight="1" x14ac:dyDescent="0.3">
      <c r="A76" s="11" t="s">
        <v>338</v>
      </c>
      <c r="B76" s="12" t="s">
        <v>317</v>
      </c>
      <c r="C76" s="12" t="s">
        <v>339</v>
      </c>
      <c r="D76" s="12" t="s">
        <v>43</v>
      </c>
      <c r="E76" s="12" t="s">
        <v>340</v>
      </c>
      <c r="F76" s="12" t="s">
        <v>341</v>
      </c>
      <c r="G76" s="11" t="s">
        <v>85</v>
      </c>
      <c r="H76" s="11" t="s">
        <v>9</v>
      </c>
      <c r="I76" s="12"/>
      <c r="J76" s="11"/>
      <c r="K76" s="12"/>
    </row>
    <row r="77" spans="1:11" ht="19.95" customHeight="1" x14ac:dyDescent="0.3">
      <c r="A77" s="15" t="s">
        <v>342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 ht="30" customHeight="1" x14ac:dyDescent="0.3">
      <c r="A78" s="9" t="s">
        <v>343</v>
      </c>
      <c r="B78" s="10" t="s">
        <v>344</v>
      </c>
      <c r="C78" s="10" t="s">
        <v>345</v>
      </c>
      <c r="D78" s="10" t="s">
        <v>73</v>
      </c>
      <c r="E78" s="10" t="s">
        <v>346</v>
      </c>
      <c r="F78" s="10" t="s">
        <v>347</v>
      </c>
      <c r="G78" s="9" t="s">
        <v>85</v>
      </c>
      <c r="H78" s="9" t="s">
        <v>9</v>
      </c>
      <c r="I78" s="10"/>
      <c r="J78" s="9"/>
      <c r="K78" s="10"/>
    </row>
    <row r="79" spans="1:11" ht="30" customHeight="1" x14ac:dyDescent="0.3">
      <c r="A79" s="11" t="s">
        <v>348</v>
      </c>
      <c r="B79" s="12" t="s">
        <v>344</v>
      </c>
      <c r="C79" s="12" t="s">
        <v>349</v>
      </c>
      <c r="D79" s="12" t="s">
        <v>43</v>
      </c>
      <c r="E79" s="12" t="s">
        <v>350</v>
      </c>
      <c r="F79" s="12" t="s">
        <v>351</v>
      </c>
      <c r="G79" s="11" t="s">
        <v>46</v>
      </c>
      <c r="H79" s="11" t="s">
        <v>9</v>
      </c>
      <c r="I79" s="12"/>
      <c r="J79" s="11"/>
      <c r="K79" s="12"/>
    </row>
    <row r="80" spans="1:11" ht="30" customHeight="1" x14ac:dyDescent="0.3">
      <c r="A80" s="9" t="s">
        <v>352</v>
      </c>
      <c r="B80" s="10" t="s">
        <v>344</v>
      </c>
      <c r="C80" s="10" t="s">
        <v>353</v>
      </c>
      <c r="D80" s="10" t="s">
        <v>354</v>
      </c>
      <c r="E80" s="10" t="s">
        <v>355</v>
      </c>
      <c r="F80" s="10" t="s">
        <v>356</v>
      </c>
      <c r="G80" s="9" t="s">
        <v>46</v>
      </c>
      <c r="H80" s="9" t="s">
        <v>9</v>
      </c>
      <c r="I80" s="10"/>
      <c r="J80" s="9"/>
      <c r="K80" s="10"/>
    </row>
    <row r="81" spans="1:11" ht="19.95" customHeight="1" x14ac:dyDescent="0.3">
      <c r="A81" s="15" t="s">
        <v>357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 ht="30" customHeight="1" x14ac:dyDescent="0.3">
      <c r="A82" s="9" t="s">
        <v>358</v>
      </c>
      <c r="B82" s="10" t="s">
        <v>359</v>
      </c>
      <c r="C82" s="10" t="s">
        <v>360</v>
      </c>
      <c r="D82" s="10" t="s">
        <v>361</v>
      </c>
      <c r="E82" s="10" t="s">
        <v>362</v>
      </c>
      <c r="F82" s="10" t="s">
        <v>363</v>
      </c>
      <c r="G82" s="9" t="s">
        <v>85</v>
      </c>
      <c r="H82" s="9" t="s">
        <v>9</v>
      </c>
      <c r="I82" s="10"/>
      <c r="J82" s="9"/>
      <c r="K82" s="10"/>
    </row>
    <row r="83" spans="1:11" ht="30" customHeight="1" x14ac:dyDescent="0.3">
      <c r="A83" s="11" t="s">
        <v>364</v>
      </c>
      <c r="B83" s="12" t="s">
        <v>359</v>
      </c>
      <c r="C83" s="12" t="s">
        <v>365</v>
      </c>
      <c r="D83" s="12" t="s">
        <v>366</v>
      </c>
      <c r="E83" s="12" t="s">
        <v>367</v>
      </c>
      <c r="F83" s="12" t="s">
        <v>368</v>
      </c>
      <c r="G83" s="11" t="s">
        <v>46</v>
      </c>
      <c r="H83" s="11" t="s">
        <v>9</v>
      </c>
      <c r="I83" s="12"/>
      <c r="J83" s="11"/>
      <c r="K83" s="12"/>
    </row>
    <row r="84" spans="1:11" ht="19.95" customHeight="1" x14ac:dyDescent="0.3">
      <c r="A84" s="15" t="s">
        <v>369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 ht="30" customHeight="1" x14ac:dyDescent="0.3">
      <c r="A85" s="9" t="s">
        <v>370</v>
      </c>
      <c r="B85" s="10" t="s">
        <v>371</v>
      </c>
      <c r="C85" s="10" t="s">
        <v>372</v>
      </c>
      <c r="D85" s="10" t="s">
        <v>43</v>
      </c>
      <c r="E85" s="10" t="s">
        <v>373</v>
      </c>
      <c r="F85" s="10" t="s">
        <v>374</v>
      </c>
      <c r="G85" s="9" t="s">
        <v>46</v>
      </c>
      <c r="H85" s="9" t="s">
        <v>9</v>
      </c>
      <c r="I85" s="10"/>
      <c r="J85" s="9"/>
      <c r="K85" s="10"/>
    </row>
    <row r="86" spans="1:11" ht="30" customHeight="1" x14ac:dyDescent="0.3">
      <c r="A86" s="11" t="s">
        <v>375</v>
      </c>
      <c r="B86" s="12" t="s">
        <v>371</v>
      </c>
      <c r="C86" s="12" t="s">
        <v>376</v>
      </c>
      <c r="D86" s="12" t="s">
        <v>43</v>
      </c>
      <c r="E86" s="12" t="s">
        <v>377</v>
      </c>
      <c r="F86" s="12" t="s">
        <v>378</v>
      </c>
      <c r="G86" s="11" t="s">
        <v>46</v>
      </c>
      <c r="H86" s="11" t="s">
        <v>9</v>
      </c>
      <c r="I86" s="12"/>
      <c r="J86" s="11"/>
      <c r="K86" s="12"/>
    </row>
    <row r="87" spans="1:11" ht="30" customHeight="1" x14ac:dyDescent="0.3">
      <c r="A87" s="9" t="s">
        <v>379</v>
      </c>
      <c r="B87" s="10" t="s">
        <v>371</v>
      </c>
      <c r="C87" s="10" t="s">
        <v>380</v>
      </c>
      <c r="D87" s="10" t="s">
        <v>43</v>
      </c>
      <c r="E87" s="10" t="s">
        <v>381</v>
      </c>
      <c r="F87" s="10" t="s">
        <v>382</v>
      </c>
      <c r="G87" s="9" t="s">
        <v>85</v>
      </c>
      <c r="H87" s="9" t="s">
        <v>9</v>
      </c>
      <c r="I87" s="10"/>
      <c r="J87" s="9"/>
      <c r="K87" s="10"/>
    </row>
    <row r="88" spans="1:11" ht="30" customHeight="1" x14ac:dyDescent="0.3">
      <c r="A88" s="11" t="s">
        <v>383</v>
      </c>
      <c r="B88" s="12" t="s">
        <v>371</v>
      </c>
      <c r="C88" s="12" t="s">
        <v>384</v>
      </c>
      <c r="D88" s="12" t="s">
        <v>43</v>
      </c>
      <c r="E88" s="12" t="s">
        <v>385</v>
      </c>
      <c r="F88" s="12" t="s">
        <v>386</v>
      </c>
      <c r="G88" s="11" t="s">
        <v>85</v>
      </c>
      <c r="H88" s="11" t="s">
        <v>9</v>
      </c>
      <c r="I88" s="12"/>
      <c r="J88" s="11"/>
      <c r="K88" s="12"/>
    </row>
    <row r="89" spans="1:11" ht="30" customHeight="1" x14ac:dyDescent="0.3">
      <c r="A89" s="9" t="s">
        <v>387</v>
      </c>
      <c r="B89" s="10" t="s">
        <v>371</v>
      </c>
      <c r="C89" s="10" t="s">
        <v>388</v>
      </c>
      <c r="D89" s="10" t="s">
        <v>389</v>
      </c>
      <c r="E89" s="10" t="s">
        <v>390</v>
      </c>
      <c r="F89" s="10" t="s">
        <v>391</v>
      </c>
      <c r="G89" s="9" t="s">
        <v>35</v>
      </c>
      <c r="H89" s="9" t="s">
        <v>9</v>
      </c>
      <c r="I89" s="10"/>
      <c r="J89" s="9"/>
      <c r="K89" s="10"/>
    </row>
  </sheetData>
  <autoFilter ref="A2:K89" xr:uid="{00000000-0009-0000-0000-000001000000}"/>
  <mergeCells count="17">
    <mergeCell ref="A1:K1"/>
    <mergeCell ref="A70:K70"/>
    <mergeCell ref="A81:K81"/>
    <mergeCell ref="A41:K41"/>
    <mergeCell ref="A47:K47"/>
    <mergeCell ref="A84:K84"/>
    <mergeCell ref="A66:K66"/>
    <mergeCell ref="A3:K3"/>
    <mergeCell ref="A30:K30"/>
    <mergeCell ref="A77:K77"/>
    <mergeCell ref="A55:K55"/>
    <mergeCell ref="A15:K15"/>
    <mergeCell ref="A61:K61"/>
    <mergeCell ref="A22:K22"/>
    <mergeCell ref="A18:K18"/>
    <mergeCell ref="A35:K35"/>
    <mergeCell ref="A50:K50"/>
  </mergeCells>
  <dataValidations count="2">
    <dataValidation type="list" allowBlank="1" sqref="H3:H89" xr:uid="{00000000-0002-0000-0100-000000000000}">
      <formula1>"Not Run,Pass,Fail,Blocked,N/A"</formula1>
    </dataValidation>
    <dataValidation type="list" allowBlank="1" sqref="G3:G89" xr:uid="{00000000-0002-0000-0100-000001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Chaurasia</cp:lastModifiedBy>
  <dcterms:created xsi:type="dcterms:W3CDTF">2026-06-13T21:44:19Z</dcterms:created>
  <dcterms:modified xsi:type="dcterms:W3CDTF">2026-06-13T22:03:21Z</dcterms:modified>
</cp:coreProperties>
</file>